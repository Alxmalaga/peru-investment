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Proyecciones" sheetId="2" state="visible" r:id="rId2"/>
    <sheet xmlns:r="http://schemas.openxmlformats.org/officeDocument/2006/relationships" name="VAN_TI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Clientes Año 1</t>
        </is>
      </c>
      <c r="B2" t="n">
        <v>50</v>
      </c>
    </row>
    <row r="3">
      <c r="A3" t="inlineStr">
        <is>
          <t>Crecimiento anual</t>
        </is>
      </c>
      <c r="B3" t="n">
        <v>0.4</v>
      </c>
    </row>
    <row r="4">
      <c r="A4" t="inlineStr">
        <is>
          <t>Ticket consultoría</t>
        </is>
      </c>
      <c r="B4" t="n">
        <v>2000</v>
      </c>
    </row>
    <row r="5">
      <c r="A5" t="inlineStr">
        <is>
          <t>Suscripción mensual</t>
        </is>
      </c>
      <c r="B5" t="n">
        <v>50</v>
      </c>
    </row>
    <row r="6">
      <c r="A6" t="inlineStr">
        <is>
          <t>Success fee %</t>
        </is>
      </c>
      <c r="B6" t="n">
        <v>0.04</v>
      </c>
    </row>
    <row r="7">
      <c r="A7" t="inlineStr">
        <is>
          <t>Monto financiamiento promedio</t>
        </is>
      </c>
      <c r="B7" t="n">
        <v>50000</v>
      </c>
    </row>
    <row r="8">
      <c r="A8" t="inlineStr">
        <is>
          <t>Costos fijos anuales</t>
        </is>
      </c>
      <c r="B8" t="n">
        <v>180000</v>
      </c>
    </row>
    <row r="9">
      <c r="A9" t="inlineStr">
        <is>
          <t>Costos variables %</t>
        </is>
      </c>
      <c r="B9" t="n">
        <v>0.2</v>
      </c>
    </row>
    <row r="10">
      <c r="A10" t="inlineStr">
        <is>
          <t>Tasa descuento</t>
        </is>
      </c>
      <c r="B10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Clientes</t>
        </is>
      </c>
      <c r="C1" s="1" t="inlineStr">
        <is>
          <t>Ingresos Consultoría</t>
        </is>
      </c>
      <c r="D1" s="1" t="inlineStr">
        <is>
          <t>Ingresos Suscripción</t>
        </is>
      </c>
      <c r="E1" s="1" t="inlineStr">
        <is>
          <t>Success Fee</t>
        </is>
      </c>
      <c r="F1" s="1" t="inlineStr">
        <is>
          <t>Ingresos Totales</t>
        </is>
      </c>
      <c r="G1" s="1" t="inlineStr">
        <is>
          <t>Costos Variables</t>
        </is>
      </c>
      <c r="H1" s="1" t="inlineStr">
        <is>
          <t>Costos Fijos</t>
        </is>
      </c>
      <c r="I1" s="1" t="inlineStr">
        <is>
          <t>Flujo Neto</t>
        </is>
      </c>
    </row>
    <row r="2">
      <c r="A2" t="n">
        <v>1</v>
      </c>
      <c r="B2">
        <f>Supuestos!B2</f>
        <v/>
      </c>
      <c r="C2">
        <f>B2*Supuestos!B4</f>
        <v/>
      </c>
      <c r="D2">
        <f>B2*Supuestos!B5*12</f>
        <v/>
      </c>
      <c r="E2">
        <f>B2*Supuestos!B6*Supuestos!B7</f>
        <v/>
      </c>
      <c r="F2">
        <f>SUM(C2:E2)</f>
        <v/>
      </c>
      <c r="G2">
        <f>F2*Supuestos!B9</f>
        <v/>
      </c>
      <c r="H2">
        <f>Supuestos!B8</f>
        <v/>
      </c>
      <c r="I2">
        <f>F2-G2-H2</f>
        <v/>
      </c>
    </row>
    <row r="3">
      <c r="A3" t="n">
        <v>2</v>
      </c>
      <c r="B3">
        <f>B2*(1+Supuestos!B3)</f>
        <v/>
      </c>
      <c r="C3">
        <f>B3*Supuestos!B4</f>
        <v/>
      </c>
      <c r="D3">
        <f>B3*Supuestos!B5*12</f>
        <v/>
      </c>
      <c r="E3">
        <f>B3*Supuestos!B6*Supuestos!B7</f>
        <v/>
      </c>
      <c r="F3">
        <f>SUM(C3:E3)</f>
        <v/>
      </c>
      <c r="G3">
        <f>F3*Supuestos!B9</f>
        <v/>
      </c>
      <c r="H3">
        <f>Supuestos!B8</f>
        <v/>
      </c>
      <c r="I3">
        <f>F3-G3-H3</f>
        <v/>
      </c>
    </row>
    <row r="4">
      <c r="A4" t="n">
        <v>3</v>
      </c>
      <c r="B4">
        <f>B3*(1+Supuestos!B3)</f>
        <v/>
      </c>
      <c r="C4">
        <f>B4*Supuestos!B4</f>
        <v/>
      </c>
      <c r="D4">
        <f>B4*Supuestos!B5*12</f>
        <v/>
      </c>
      <c r="E4">
        <f>B4*Supuestos!B6*Supuestos!B7</f>
        <v/>
      </c>
      <c r="F4">
        <f>SUM(C4:E4)</f>
        <v/>
      </c>
      <c r="G4">
        <f>F4*Supuestos!B9</f>
        <v/>
      </c>
      <c r="H4">
        <f>Supuestos!B8</f>
        <v/>
      </c>
      <c r="I4">
        <f>F4-G4-H4</f>
        <v/>
      </c>
    </row>
    <row r="5">
      <c r="A5" t="n">
        <v>4</v>
      </c>
      <c r="B5">
        <f>B4*(1+Supuestos!B3)</f>
        <v/>
      </c>
      <c r="C5">
        <f>B5*Supuestos!B4</f>
        <v/>
      </c>
      <c r="D5">
        <f>B5*Supuestos!B5*12</f>
        <v/>
      </c>
      <c r="E5">
        <f>B5*Supuestos!B6*Supuestos!B7</f>
        <v/>
      </c>
      <c r="F5">
        <f>SUM(C5:E5)</f>
        <v/>
      </c>
      <c r="G5">
        <f>F5*Supuestos!B9</f>
        <v/>
      </c>
      <c r="H5">
        <f>Supuestos!B8</f>
        <v/>
      </c>
      <c r="I5">
        <f>F5-G5-H5</f>
        <v/>
      </c>
    </row>
    <row r="6">
      <c r="A6" t="n">
        <v>5</v>
      </c>
      <c r="B6">
        <f>B5*(1+Supuestos!B3)</f>
        <v/>
      </c>
      <c r="C6">
        <f>B6*Supuestos!B4</f>
        <v/>
      </c>
      <c r="D6">
        <f>B6*Supuestos!B5*12</f>
        <v/>
      </c>
      <c r="E6">
        <f>B6*Supuestos!B6*Supuestos!B7</f>
        <v/>
      </c>
      <c r="F6">
        <f>SUM(C6:E6)</f>
        <v/>
      </c>
      <c r="G6">
        <f>F6*Supuestos!B9</f>
        <v/>
      </c>
      <c r="H6">
        <f>Supuestos!B8</f>
        <v/>
      </c>
      <c r="I6">
        <f>F6-G6-H6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Flujos</t>
        </is>
      </c>
    </row>
    <row r="2">
      <c r="A2" t="n">
        <v>-50000</v>
      </c>
      <c r="C2" t="inlineStr">
        <is>
          <t>VAN</t>
        </is>
      </c>
      <c r="D2" t="inlineStr">
        <is>
          <t>TIR</t>
        </is>
      </c>
    </row>
    <row r="3">
      <c r="A3">
        <f>Proyecciones!I2</f>
        <v/>
      </c>
      <c r="C3">
        <f>NPV(Supuestos!B10,A3:A7)+A2</f>
        <v/>
      </c>
      <c r="D3">
        <f>IRR(A2:A7)</f>
        <v/>
      </c>
    </row>
    <row r="4">
      <c r="A4">
        <f>Proyecciones!I3</f>
        <v/>
      </c>
    </row>
    <row r="5">
      <c r="A5">
        <f>Proyecciones!I4</f>
        <v/>
      </c>
    </row>
    <row r="6">
      <c r="A6">
        <f>Proyecciones!I5</f>
        <v/>
      </c>
    </row>
    <row r="7">
      <c r="A7">
        <f>Proyecciones!I6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2026-04-06T00:03:29Z</dcterms:created>
  <dcterms:modified xmlns:dcterms="http://purl.org/dc/terms/" xmlns:xsi="http://www.w3.org/2001/XMLSchema-instance" xsi:type="dcterms:W3CDTF">2026-04-06T00:03:29Z</dcterms:modified>
</cp:coreProperties>
</file>